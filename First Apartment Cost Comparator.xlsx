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eredithm/Desktop/First Apartment Cost Project/"/>
    </mc:Choice>
  </mc:AlternateContent>
  <xr:revisionPtr revIDLastSave="0" documentId="8_{DD4346BB-91C6-F544-ACC3-8CC00A234BDC}" xr6:coauthVersionLast="47" xr6:coauthVersionMax="47" xr10:uidLastSave="{00000000-0000-0000-0000-000000000000}"/>
  <bookViews>
    <workbookView xWindow="14200" yWindow="700" windowWidth="15180" windowHeight="16640" activeTab="2" xr2:uid="{3CF9613A-9826-0A43-8DC3-3865CAA33A32}"/>
  </bookViews>
  <sheets>
    <sheet name="Inputs" sheetId="1" r:id="rId1"/>
    <sheet name="Calculations" sheetId="2" r:id="rId2"/>
    <sheet name="Summary &amp; Chart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G3" i="3"/>
  <c r="B28" i="3"/>
  <c r="B20" i="3"/>
  <c r="B12" i="3"/>
  <c r="D2" i="2"/>
  <c r="D3" i="2" s="1"/>
  <c r="D4" i="2" s="1"/>
  <c r="D5" i="3" s="1"/>
  <c r="C2" i="2"/>
  <c r="C3" i="2" s="1"/>
  <c r="C4" i="2" s="1"/>
  <c r="C5" i="3" s="1"/>
  <c r="B2" i="2"/>
  <c r="G4" i="3" l="1"/>
  <c r="B3" i="2"/>
  <c r="B4" i="2" s="1"/>
  <c r="B5" i="3" s="1"/>
  <c r="B29" i="3"/>
  <c r="B21" i="3"/>
  <c r="B13" i="3"/>
  <c r="D3" i="3"/>
  <c r="D4" i="3" s="1"/>
  <c r="C3" i="3"/>
  <c r="C4" i="3" s="1"/>
  <c r="C5" i="2" l="1"/>
  <c r="B3" i="3"/>
  <c r="B4" i="3" s="1"/>
  <c r="B5" i="2"/>
  <c r="D5" i="2"/>
  <c r="B7" i="3"/>
  <c r="B8" i="3"/>
</calcChain>
</file>

<file path=xl/sharedStrings.xml><?xml version="1.0" encoding="utf-8"?>
<sst xmlns="http://schemas.openxmlformats.org/spreadsheetml/2006/main" count="73" uniqueCount="43">
  <si>
    <t>First Apartment Cost Comparator</t>
  </si>
  <si>
    <t>Instructions:</t>
  </si>
  <si>
    <t>General Assumptions</t>
  </si>
  <si>
    <t>Average monthly groceries</t>
  </si>
  <si>
    <t>Average monthly transportation</t>
  </si>
  <si>
    <t>Average internet/cable</t>
  </si>
  <si>
    <t>Apartment 1</t>
  </si>
  <si>
    <t>Category</t>
  </si>
  <si>
    <t>Apartment Name/Location</t>
  </si>
  <si>
    <t>Utilities Included? (Yes/No)</t>
  </si>
  <si>
    <t>Estimated Electric (if No)</t>
  </si>
  <si>
    <t>Estimated Gas (if No)</t>
  </si>
  <si>
    <t>Square Footage (optional)</t>
  </si>
  <si>
    <t>Apartment 2</t>
  </si>
  <si>
    <t>Apartment 3</t>
  </si>
  <si>
    <t>Total Utilities</t>
  </si>
  <si>
    <t>Total Monthly Cost</t>
  </si>
  <si>
    <t>Total Annual Cost</t>
  </si>
  <si>
    <t>Difference vs Cheapest</t>
  </si>
  <si>
    <t>Estimated Water/Trash (if No)</t>
  </si>
  <si>
    <t>Label</t>
  </si>
  <si>
    <t>Content</t>
  </si>
  <si>
    <t>Cheapest Option:</t>
  </si>
  <si>
    <t>Cheapest Monthly Cost:</t>
  </si>
  <si>
    <t>Expense</t>
  </si>
  <si>
    <t>Amount</t>
  </si>
  <si>
    <t>Rent</t>
  </si>
  <si>
    <t>Utilities</t>
  </si>
  <si>
    <t>Groceries</t>
  </si>
  <si>
    <t>Tranport</t>
  </si>
  <si>
    <t>Internet</t>
  </si>
  <si>
    <t>Monthly Rent (1 bed, 1 bath)</t>
  </si>
  <si>
    <t>The Henry/Tampa</t>
  </si>
  <si>
    <t>Arabelle Riverwalk/Tampa</t>
  </si>
  <si>
    <t>The Metropolitan/Tampa</t>
  </si>
  <si>
    <t>No</t>
  </si>
  <si>
    <t>549 sqft</t>
  </si>
  <si>
    <t>801 sqft</t>
  </si>
  <si>
    <t>499 sqft</t>
  </si>
  <si>
    <t>Enter details for up to 3 apartments. The tool will compare total monthly and annual costs, including utilities.</t>
  </si>
  <si>
    <t>First Apartment Budget Comparator - Results</t>
  </si>
  <si>
    <t>Expense Breakdown - Apartment 3</t>
  </si>
  <si>
    <t>+10% Rent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</si>
</sst>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4"/>
      <color theme="1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6" fontId="0" fillId="0" borderId="0" xfId="0" applyNumberFormat="1"/>
    <xf numFmtId="0" fontId="0" fillId="2" borderId="0" xfId="0" applyFill="1"/>
    <xf numFmtId="0" fontId="2" fillId="2" borderId="0" xfId="0" applyFont="1" applyFill="1"/>
    <xf numFmtId="0" fontId="4" fillId="0" borderId="0" xfId="0" applyFont="1"/>
    <xf numFmtId="44" fontId="0" fillId="0" borderId="0" xfId="1" applyFont="1"/>
    <xf numFmtId="44" fontId="0" fillId="0" borderId="0" xfId="1" applyNumberFormat="1" applyFont="1"/>
    <xf numFmtId="44" fontId="5" fillId="0" borderId="0" xfId="1" applyFont="1"/>
    <xf numFmtId="0" fontId="0" fillId="0" borderId="0" xfId="0" applyNumberFormat="1"/>
    <xf numFmtId="0" fontId="0" fillId="0" borderId="0" xfId="1" applyNumberFormat="1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44" fontId="0" fillId="0" borderId="0" xfId="0" applyNumberFormat="1"/>
    <xf numFmtId="0" fontId="0" fillId="0" borderId="0" xfId="0" quotePrefix="1" applyFont="1"/>
  </cellXfs>
  <cellStyles count="2">
    <cellStyle name="Currency" xfId="1" builtinId="4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Cost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&amp; Charts'!$A$3</c:f>
              <c:strCache>
                <c:ptCount val="1"/>
                <c:pt idx="0">
                  <c:v>Total Monthly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&amp; Charts'!$B$2:$D$2</c:f>
              <c:strCache>
                <c:ptCount val="3"/>
                <c:pt idx="0">
                  <c:v>Apartment 1</c:v>
                </c:pt>
                <c:pt idx="1">
                  <c:v>Apartment 2</c:v>
                </c:pt>
                <c:pt idx="2">
                  <c:v>Apartment 3</c:v>
                </c:pt>
              </c:strCache>
            </c:strRef>
          </c:cat>
          <c:val>
            <c:numRef>
              <c:f>'Summary &amp; Charts'!$B$3:$D$3</c:f>
              <c:numCache>
                <c:formatCode>_("$"* #,##0.00_);_("$"* \(#,##0.00\);_("$"* "-"??_);_(@_)</c:formatCode>
                <c:ptCount val="3"/>
                <c:pt idx="0">
                  <c:v>3469</c:v>
                </c:pt>
                <c:pt idx="1">
                  <c:v>3064</c:v>
                </c:pt>
                <c:pt idx="2">
                  <c:v>2580.5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7-9A46-B6D1-9FC250AB6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9424895"/>
        <c:axId val="1179432511"/>
      </c:barChart>
      <c:catAx>
        <c:axId val="117942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432511"/>
        <c:crosses val="autoZero"/>
        <c:auto val="1"/>
        <c:lblAlgn val="ctr"/>
        <c:lblOffset val="100"/>
        <c:noMultiLvlLbl val="0"/>
      </c:catAx>
      <c:valAx>
        <c:axId val="117943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42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Expense Breakdown - Apartment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&amp; Charts'!$A$12:$A$16</c:f>
              <c:strCache>
                <c:ptCount val="5"/>
                <c:pt idx="0">
                  <c:v>Rent</c:v>
                </c:pt>
                <c:pt idx="1">
                  <c:v>Utilities</c:v>
                </c:pt>
                <c:pt idx="2">
                  <c:v>Groceries</c:v>
                </c:pt>
                <c:pt idx="3">
                  <c:v>Tranport</c:v>
                </c:pt>
                <c:pt idx="4">
                  <c:v>Internet</c:v>
                </c:pt>
              </c:strCache>
            </c:strRef>
          </c:cat>
          <c:val>
            <c:numRef>
              <c:f>'Summary &amp; Charts'!$B$12:$B$16</c:f>
              <c:numCache>
                <c:formatCode>_("$"* #,##0.00_);_("$"* \(#,##0.00\);_("$"* "-"??_);_(@_)</c:formatCode>
                <c:ptCount val="5"/>
                <c:pt idx="0">
                  <c:v>2839</c:v>
                </c:pt>
                <c:pt idx="1">
                  <c:v>120</c:v>
                </c:pt>
                <c:pt idx="2">
                  <c:v>300</c:v>
                </c:pt>
                <c:pt idx="3">
                  <c:v>150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F-FE4C-B701-D1AC7628CE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Expense Breakdown - Apartment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&amp; Charts'!$A$20:$A$24</c:f>
              <c:strCache>
                <c:ptCount val="5"/>
                <c:pt idx="0">
                  <c:v>Rent</c:v>
                </c:pt>
                <c:pt idx="1">
                  <c:v>Utilities</c:v>
                </c:pt>
                <c:pt idx="2">
                  <c:v>Groceries</c:v>
                </c:pt>
                <c:pt idx="3">
                  <c:v>Tranport</c:v>
                </c:pt>
                <c:pt idx="4">
                  <c:v>Internet</c:v>
                </c:pt>
              </c:strCache>
            </c:strRef>
          </c:cat>
          <c:val>
            <c:numRef>
              <c:f>'Summary &amp; Charts'!$B$20:$B$24</c:f>
              <c:numCache>
                <c:formatCode>_("$"* #,##0.00_);_("$"* \(#,##0.00\);_("$"* "-"??_);_(@_)</c:formatCode>
                <c:ptCount val="5"/>
                <c:pt idx="0">
                  <c:v>2414</c:v>
                </c:pt>
                <c:pt idx="1">
                  <c:v>140</c:v>
                </c:pt>
                <c:pt idx="2">
                  <c:v>300</c:v>
                </c:pt>
                <c:pt idx="3">
                  <c:v>150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B-774E-8189-13C0A17DC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Expense Breakdown - Apartment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&amp; Charts'!$A$28:$A$32</c:f>
              <c:strCache>
                <c:ptCount val="5"/>
                <c:pt idx="0">
                  <c:v>Rent</c:v>
                </c:pt>
                <c:pt idx="1">
                  <c:v>Utilities</c:v>
                </c:pt>
                <c:pt idx="2">
                  <c:v>Groceries</c:v>
                </c:pt>
                <c:pt idx="3">
                  <c:v>Tranport</c:v>
                </c:pt>
                <c:pt idx="4">
                  <c:v>Internet</c:v>
                </c:pt>
              </c:strCache>
            </c:strRef>
          </c:cat>
          <c:val>
            <c:numRef>
              <c:f>'Summary &amp; Charts'!$B$28:$B$32</c:f>
              <c:numCache>
                <c:formatCode>_("$"* #,##0.00_);_("$"* \(#,##0.00\);_("$"* "-"??_);_(@_)</c:formatCode>
                <c:ptCount val="5"/>
                <c:pt idx="0">
                  <c:v>1945</c:v>
                </c:pt>
                <c:pt idx="1">
                  <c:v>125.5</c:v>
                </c:pt>
                <c:pt idx="2">
                  <c:v>300</c:v>
                </c:pt>
                <c:pt idx="3">
                  <c:v>150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1-8645-A728-7D0D6C8412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894879</xdr:colOff>
      <xdr:row>17</xdr:row>
      <xdr:rowOff>4233</xdr:rowOff>
    </xdr:from>
    <xdr:to>
      <xdr:col>8</xdr:col>
      <xdr:colOff>811389</xdr:colOff>
      <xdr:row>30</xdr:row>
      <xdr:rowOff>188148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AE3088-CCB1-CF64-6FB2-D0C27F542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24694</xdr:colOff>
      <xdr:row>33</xdr:row>
      <xdr:rowOff>4234</xdr:rowOff>
    </xdr:from>
    <xdr:to>
      <xdr:col>4</xdr:col>
      <xdr:colOff>693795</xdr:colOff>
      <xdr:row>46</xdr:row>
      <xdr:rowOff>141112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4E5D13-0DD3-C0D2-2603-73728239B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705555</xdr:colOff>
      <xdr:row>31</xdr:row>
      <xdr:rowOff>192381</xdr:rowOff>
    </xdr:from>
    <xdr:to>
      <xdr:col>10</xdr:col>
      <xdr:colOff>776111</xdr:colOff>
      <xdr:row>45</xdr:row>
      <xdr:rowOff>136877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4120DD-6E6A-0755-5300-6C1E30774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154046</xdr:colOff>
      <xdr:row>45</xdr:row>
      <xdr:rowOff>98306</xdr:rowOff>
    </xdr:from>
    <xdr:to>
      <xdr:col>8</xdr:col>
      <xdr:colOff>47036</xdr:colOff>
      <xdr:row>59</xdr:row>
      <xdr:rowOff>42802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590F0F-792D-7D8A-5E23-3ACAFBB49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elestial">
  <a:themeElements>
    <a:clrScheme name="Celestial">
      <a:dk1>
        <a:sysClr val="windowText" lastClr="000000"/>
      </a:dk1>
      <a:lt1>
        <a:sysClr val="window" lastClr="FFFFFF"/>
      </a:lt1>
      <a:dk2>
        <a:srgbClr val="18276C"/>
      </a:dk2>
      <a:lt2>
        <a:srgbClr val="EBEBEB"/>
      </a:lt2>
      <a:accent1>
        <a:srgbClr val="AC3EC1"/>
      </a:accent1>
      <a:accent2>
        <a:srgbClr val="477BD1"/>
      </a:accent2>
      <a:accent3>
        <a:srgbClr val="46B298"/>
      </a:accent3>
      <a:accent4>
        <a:srgbClr val="90BA4C"/>
      </a:accent4>
      <a:accent5>
        <a:srgbClr val="DD9D31"/>
      </a:accent5>
      <a:accent6>
        <a:srgbClr val="E25247"/>
      </a:accent6>
      <a:hlink>
        <a:srgbClr val="C573D2"/>
      </a:hlink>
      <a:folHlink>
        <a:srgbClr val="CCAEE8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C2CF-8FF5-A24F-AD89-2F2B8578498F}">
  <dimension ref="A1:D18"/>
  <sheetViews>
    <sheetView zoomScale="119" workbookViewId="0">
      <selection activeCell="B4" sqref="B4"/>
    </sheetView>
  </sheetViews>
  <sheetFormatPr baseColWidth="10" defaultRowHeight="16" x14ac:dyDescent="0.2"/>
  <cols>
    <col min="1" max="1" width="33.83203125" customWidth="1"/>
    <col min="2" max="2" width="15.1640625" customWidth="1"/>
    <col min="3" max="3" width="22.33203125" customWidth="1"/>
    <col min="4" max="4" width="21" customWidth="1"/>
  </cols>
  <sheetData>
    <row r="1" spans="1:4" ht="19" x14ac:dyDescent="0.25">
      <c r="A1" s="11" t="s">
        <v>0</v>
      </c>
      <c r="B1" s="11"/>
      <c r="C1" s="11"/>
      <c r="D1" s="11"/>
    </row>
    <row r="3" spans="1:4" x14ac:dyDescent="0.2">
      <c r="A3" t="s">
        <v>1</v>
      </c>
      <c r="B3" s="12" t="s">
        <v>39</v>
      </c>
    </row>
    <row r="5" spans="1:4" x14ac:dyDescent="0.2">
      <c r="A5" s="1" t="s">
        <v>2</v>
      </c>
    </row>
    <row r="6" spans="1:4" x14ac:dyDescent="0.2">
      <c r="A6" t="s">
        <v>3</v>
      </c>
      <c r="B6" s="2">
        <v>300</v>
      </c>
    </row>
    <row r="7" spans="1:4" x14ac:dyDescent="0.2">
      <c r="A7" t="s">
        <v>4</v>
      </c>
      <c r="B7" s="2">
        <v>150</v>
      </c>
    </row>
    <row r="8" spans="1:4" x14ac:dyDescent="0.2">
      <c r="A8" t="s">
        <v>5</v>
      </c>
      <c r="B8" s="2">
        <v>60</v>
      </c>
    </row>
    <row r="10" spans="1:4" x14ac:dyDescent="0.2">
      <c r="A10" s="3"/>
      <c r="B10" s="3" t="s">
        <v>6</v>
      </c>
      <c r="C10" s="3" t="s">
        <v>13</v>
      </c>
      <c r="D10" s="3" t="s">
        <v>14</v>
      </c>
    </row>
    <row r="11" spans="1:4" x14ac:dyDescent="0.2">
      <c r="A11" s="4" t="s">
        <v>7</v>
      </c>
      <c r="B11" s="4"/>
      <c r="C11" s="4"/>
      <c r="D11" s="4"/>
    </row>
    <row r="12" spans="1:4" x14ac:dyDescent="0.2">
      <c r="A12" t="s">
        <v>8</v>
      </c>
      <c r="B12" t="s">
        <v>32</v>
      </c>
      <c r="C12" t="s">
        <v>33</v>
      </c>
      <c r="D12" t="s">
        <v>34</v>
      </c>
    </row>
    <row r="13" spans="1:4" x14ac:dyDescent="0.2">
      <c r="A13" t="s">
        <v>31</v>
      </c>
      <c r="B13" s="6">
        <v>2839</v>
      </c>
      <c r="C13" s="6">
        <v>2414</v>
      </c>
      <c r="D13" s="6">
        <v>1945</v>
      </c>
    </row>
    <row r="14" spans="1:4" x14ac:dyDescent="0.2">
      <c r="A14" t="s">
        <v>9</v>
      </c>
      <c r="B14" s="6" t="s">
        <v>35</v>
      </c>
      <c r="C14" s="6" t="s">
        <v>35</v>
      </c>
      <c r="D14" s="6" t="s">
        <v>35</v>
      </c>
    </row>
    <row r="15" spans="1:4" x14ac:dyDescent="0.2">
      <c r="A15" t="s">
        <v>10</v>
      </c>
      <c r="B15" s="6">
        <v>80</v>
      </c>
      <c r="C15" s="6">
        <v>80</v>
      </c>
      <c r="D15" s="6">
        <v>80</v>
      </c>
    </row>
    <row r="16" spans="1:4" x14ac:dyDescent="0.2">
      <c r="A16" t="s">
        <v>19</v>
      </c>
      <c r="B16" s="6">
        <v>40</v>
      </c>
      <c r="C16" s="6">
        <v>60</v>
      </c>
      <c r="D16" s="6">
        <v>45.5</v>
      </c>
    </row>
    <row r="17" spans="1:4" x14ac:dyDescent="0.2">
      <c r="A17" t="s">
        <v>11</v>
      </c>
      <c r="B17" s="6">
        <v>0</v>
      </c>
      <c r="C17" s="6">
        <v>0</v>
      </c>
      <c r="D17" s="6">
        <v>0</v>
      </c>
    </row>
    <row r="18" spans="1:4" x14ac:dyDescent="0.2">
      <c r="A18" t="s">
        <v>12</v>
      </c>
      <c r="B18" s="9" t="s">
        <v>38</v>
      </c>
      <c r="C18" s="9" t="s">
        <v>37</v>
      </c>
      <c r="D18" s="10" t="s">
        <v>36</v>
      </c>
    </row>
  </sheetData>
  <mergeCells count="1">
    <mergeCell ref="A1:D1"/>
  </mergeCells>
  <dataValidations count="1">
    <dataValidation type="list" allowBlank="1" showInputMessage="1" showErrorMessage="1" sqref="B14:D14" xr:uid="{0946228B-4C44-1C49-820E-08B61B5311B5}">
      <formula1>"Yes,No"</formula1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D2DE-F64C-0D4B-BAF9-EDB5D9B6A74F}">
  <dimension ref="A1:D5"/>
  <sheetViews>
    <sheetView workbookViewId="0">
      <selection activeCell="D2" sqref="D2"/>
    </sheetView>
  </sheetViews>
  <sheetFormatPr baseColWidth="10" defaultRowHeight="16" x14ac:dyDescent="0.2"/>
  <cols>
    <col min="1" max="1" width="20" customWidth="1"/>
    <col min="2" max="4" width="11.5" customWidth="1"/>
  </cols>
  <sheetData>
    <row r="1" spans="1:4" x14ac:dyDescent="0.2">
      <c r="A1" s="1" t="s">
        <v>20</v>
      </c>
      <c r="B1" t="s">
        <v>6</v>
      </c>
      <c r="C1" t="s">
        <v>13</v>
      </c>
      <c r="D1" t="s">
        <v>14</v>
      </c>
    </row>
    <row r="2" spans="1:4" x14ac:dyDescent="0.2">
      <c r="A2" t="s">
        <v>15</v>
      </c>
      <c r="B2" s="6">
        <f>IF(Inputs!B14="Yes",0,SUM(Inputs!B15:B17))</f>
        <v>120</v>
      </c>
      <c r="C2" s="6">
        <f>IF(Inputs!C14="Yes",0,SUM(Inputs!C15:C17))</f>
        <v>140</v>
      </c>
      <c r="D2" s="6">
        <f>IF(Inputs!D14="Yes",0,SUM(Inputs!D15:D17))</f>
        <v>125.5</v>
      </c>
    </row>
    <row r="3" spans="1:4" x14ac:dyDescent="0.2">
      <c r="A3" t="s">
        <v>16</v>
      </c>
      <c r="B3" s="6">
        <f>Inputs!B13 + B2 + 300 + 150 + 60</f>
        <v>3469</v>
      </c>
      <c r="C3" s="6">
        <f>Inputs!C13 + C2 + 300 + 150 + 60</f>
        <v>3064</v>
      </c>
      <c r="D3" s="6">
        <f>Inputs!D13 + D2 + 300 + 150 + 60</f>
        <v>2580.5</v>
      </c>
    </row>
    <row r="4" spans="1:4" x14ac:dyDescent="0.2">
      <c r="A4" t="s">
        <v>17</v>
      </c>
      <c r="B4" s="6">
        <f>B3*12</f>
        <v>41628</v>
      </c>
      <c r="C4" s="6">
        <f>C3*12</f>
        <v>36768</v>
      </c>
      <c r="D4" s="6">
        <f>D3*12</f>
        <v>30966</v>
      </c>
    </row>
    <row r="5" spans="1:4" x14ac:dyDescent="0.2">
      <c r="A5" t="s">
        <v>18</v>
      </c>
      <c r="B5" s="6">
        <f>B3 - MIN($B$3:$D$3)</f>
        <v>888.5</v>
      </c>
      <c r="C5" s="6">
        <f>C3 - MIN($B$3:$D$3)</f>
        <v>483.5</v>
      </c>
      <c r="D5" s="6">
        <f>D3 - MIN($B$3:$D$3)</f>
        <v>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743A-9CFE-834E-B062-125B71CA25EB}">
  <dimension ref="A1:I32"/>
  <sheetViews>
    <sheetView tabSelected="1" zoomScale="108" workbookViewId="0">
      <selection activeCell="C6" sqref="C6"/>
    </sheetView>
  </sheetViews>
  <sheetFormatPr baseColWidth="10" defaultRowHeight="16" x14ac:dyDescent="0.2"/>
  <cols>
    <col min="1" max="1" width="21.5" bestFit="1" customWidth="1"/>
    <col min="2" max="4" width="11.83203125" customWidth="1"/>
  </cols>
  <sheetData>
    <row r="1" spans="1:9" ht="21" x14ac:dyDescent="0.25">
      <c r="A1" s="13" t="s">
        <v>40</v>
      </c>
      <c r="B1" s="13"/>
      <c r="C1" s="13"/>
      <c r="D1" s="13"/>
      <c r="E1" s="13"/>
      <c r="F1" s="13"/>
      <c r="G1" s="13"/>
      <c r="H1" s="13"/>
      <c r="I1" s="13"/>
    </row>
    <row r="2" spans="1:9" x14ac:dyDescent="0.2">
      <c r="A2" s="1" t="s">
        <v>21</v>
      </c>
      <c r="B2" t="s">
        <v>6</v>
      </c>
      <c r="C2" t="s">
        <v>13</v>
      </c>
      <c r="D2" t="s">
        <v>14</v>
      </c>
      <c r="F2" t="s">
        <v>41</v>
      </c>
    </row>
    <row r="3" spans="1:9" x14ac:dyDescent="0.2">
      <c r="A3" s="5" t="s">
        <v>16</v>
      </c>
      <c r="B3" s="7">
        <f>Calculations!B3</f>
        <v>3469</v>
      </c>
      <c r="C3" s="7">
        <f>Calculations!C3</f>
        <v>3064</v>
      </c>
      <c r="D3" s="7">
        <f>Calculations!D3</f>
        <v>2580.5</v>
      </c>
      <c r="F3" t="s">
        <v>26</v>
      </c>
      <c r="G3" s="14">
        <f>Inputs!D13</f>
        <v>1945</v>
      </c>
    </row>
    <row r="4" spans="1:9" x14ac:dyDescent="0.2">
      <c r="A4" s="15" t="s">
        <v>42</v>
      </c>
      <c r="B4" s="7">
        <f>B3*1.1</f>
        <v>3815.9</v>
      </c>
      <c r="C4" s="7">
        <f t="shared" ref="C4:D4" si="0">C3*1.1</f>
        <v>3370.4</v>
      </c>
      <c r="D4" s="7">
        <f t="shared" si="0"/>
        <v>2838.55</v>
      </c>
      <c r="F4" t="s">
        <v>27</v>
      </c>
      <c r="G4" s="14">
        <f>Calculations!D2</f>
        <v>125.5</v>
      </c>
    </row>
    <row r="5" spans="1:9" x14ac:dyDescent="0.2">
      <c r="A5" s="5" t="s">
        <v>17</v>
      </c>
      <c r="B5" s="7">
        <f>Calculations!B4</f>
        <v>41628</v>
      </c>
      <c r="C5" s="7">
        <f>Calculations!C4</f>
        <v>36768</v>
      </c>
      <c r="D5" s="7">
        <f>Calculations!D4</f>
        <v>30966</v>
      </c>
      <c r="F5" t="s">
        <v>28</v>
      </c>
      <c r="G5" s="2">
        <f>Inputs!$B$6</f>
        <v>300</v>
      </c>
    </row>
    <row r="7" spans="1:9" x14ac:dyDescent="0.2">
      <c r="A7" s="1" t="s">
        <v>22</v>
      </c>
      <c r="B7" t="str">
        <f>INDEX(B2:D2,MATCH(MIN(B3:D3),B3:D3,0))</f>
        <v>Apartment 3</v>
      </c>
    </row>
    <row r="8" spans="1:9" x14ac:dyDescent="0.2">
      <c r="A8" s="1" t="s">
        <v>23</v>
      </c>
      <c r="B8" s="6">
        <f>MIN(B3:D3)</f>
        <v>2580.5</v>
      </c>
    </row>
    <row r="9" spans="1:9" x14ac:dyDescent="0.2">
      <c r="B9" s="2"/>
    </row>
    <row r="10" spans="1:9" x14ac:dyDescent="0.2">
      <c r="A10" s="1" t="s">
        <v>6</v>
      </c>
      <c r="B10" s="1"/>
    </row>
    <row r="11" spans="1:9" x14ac:dyDescent="0.2">
      <c r="A11" s="1" t="s">
        <v>24</v>
      </c>
      <c r="B11" s="1" t="s">
        <v>25</v>
      </c>
    </row>
    <row r="12" spans="1:9" x14ac:dyDescent="0.2">
      <c r="A12" t="s">
        <v>26</v>
      </c>
      <c r="B12" s="8">
        <f>Inputs!B13</f>
        <v>2839</v>
      </c>
    </row>
    <row r="13" spans="1:9" x14ac:dyDescent="0.2">
      <c r="A13" t="s">
        <v>27</v>
      </c>
      <c r="B13" s="8">
        <f>Calculations!B2</f>
        <v>120</v>
      </c>
    </row>
    <row r="14" spans="1:9" x14ac:dyDescent="0.2">
      <c r="A14" t="s">
        <v>28</v>
      </c>
      <c r="B14" s="6">
        <v>300</v>
      </c>
    </row>
    <row r="15" spans="1:9" x14ac:dyDescent="0.2">
      <c r="A15" t="s">
        <v>29</v>
      </c>
      <c r="B15" s="6">
        <v>150</v>
      </c>
    </row>
    <row r="16" spans="1:9" x14ac:dyDescent="0.2">
      <c r="A16" t="s">
        <v>30</v>
      </c>
      <c r="B16" s="6">
        <v>60</v>
      </c>
    </row>
    <row r="18" spans="1:2" x14ac:dyDescent="0.2">
      <c r="A18" s="1" t="s">
        <v>13</v>
      </c>
      <c r="B18" s="1"/>
    </row>
    <row r="19" spans="1:2" x14ac:dyDescent="0.2">
      <c r="A19" s="1" t="s">
        <v>24</v>
      </c>
      <c r="B19" s="1" t="s">
        <v>25</v>
      </c>
    </row>
    <row r="20" spans="1:2" x14ac:dyDescent="0.2">
      <c r="A20" t="s">
        <v>26</v>
      </c>
      <c r="B20" s="8">
        <f>Inputs!C13</f>
        <v>2414</v>
      </c>
    </row>
    <row r="21" spans="1:2" x14ac:dyDescent="0.2">
      <c r="A21" t="s">
        <v>27</v>
      </c>
      <c r="B21" s="8">
        <f>Calculations!C2</f>
        <v>140</v>
      </c>
    </row>
    <row r="22" spans="1:2" x14ac:dyDescent="0.2">
      <c r="A22" t="s">
        <v>28</v>
      </c>
      <c r="B22" s="6">
        <v>300</v>
      </c>
    </row>
    <row r="23" spans="1:2" x14ac:dyDescent="0.2">
      <c r="A23" t="s">
        <v>29</v>
      </c>
      <c r="B23" s="6">
        <v>150</v>
      </c>
    </row>
    <row r="24" spans="1:2" x14ac:dyDescent="0.2">
      <c r="A24" t="s">
        <v>30</v>
      </c>
      <c r="B24" s="6">
        <v>60</v>
      </c>
    </row>
    <row r="26" spans="1:2" x14ac:dyDescent="0.2">
      <c r="A26" s="1" t="s">
        <v>14</v>
      </c>
      <c r="B26" s="1"/>
    </row>
    <row r="27" spans="1:2" x14ac:dyDescent="0.2">
      <c r="A27" s="1" t="s">
        <v>24</v>
      </c>
      <c r="B27" s="1" t="s">
        <v>25</v>
      </c>
    </row>
    <row r="28" spans="1:2" x14ac:dyDescent="0.2">
      <c r="A28" t="s">
        <v>26</v>
      </c>
      <c r="B28" s="8">
        <f>Inputs!D13</f>
        <v>1945</v>
      </c>
    </row>
    <row r="29" spans="1:2" x14ac:dyDescent="0.2">
      <c r="A29" t="s">
        <v>27</v>
      </c>
      <c r="B29" s="8">
        <f>Calculations!D2</f>
        <v>125.5</v>
      </c>
    </row>
    <row r="30" spans="1:2" x14ac:dyDescent="0.2">
      <c r="A30" t="s">
        <v>28</v>
      </c>
      <c r="B30" s="6">
        <v>300</v>
      </c>
    </row>
    <row r="31" spans="1:2" x14ac:dyDescent="0.2">
      <c r="A31" t="s">
        <v>29</v>
      </c>
      <c r="B31" s="6">
        <v>150</v>
      </c>
    </row>
    <row r="32" spans="1:2" x14ac:dyDescent="0.2">
      <c r="A32" t="s">
        <v>30</v>
      </c>
      <c r="B32" s="6">
        <v>60</v>
      </c>
    </row>
  </sheetData>
  <mergeCells count="1">
    <mergeCell ref="A1:I1"/>
  </mergeCells>
  <conditionalFormatting sqref="B3:D4">
    <cfRule type="expression" dxfId="0" priority="1">
      <formula>B3=MIN($B$3:$D$3)</formula>
    </cfRule>
  </conditionalFormatting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Calculations</vt:lpstr>
      <vt:lpstr>Summary &amp;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Meredith Makowsky</dc:creator>
  <cp:lastModifiedBy>Meredith Makowsky</cp:lastModifiedBy>
  <dcterms:created xsi:type="dcterms:W3CDTF">2025-12-21T22:21:45Z</dcterms:created>
  <dcterms:modified xsi:type="dcterms:W3CDTF">2025-12-22T20:27:10Z</dcterms:modified>
</cp:coreProperties>
</file>